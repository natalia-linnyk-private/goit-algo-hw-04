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SCode-Projects\Algorithm and DS\goit-algo-hw-04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C31" i="1"/>
  <c r="E31" i="1"/>
  <c r="J31" i="1" s="1"/>
  <c r="D31" i="1"/>
  <c r="D30" i="1"/>
  <c r="E30" i="1"/>
  <c r="D29" i="1"/>
  <c r="E29" i="1"/>
  <c r="J29" i="1" s="1"/>
  <c r="D28" i="1"/>
  <c r="E28" i="1"/>
  <c r="J28" i="1" s="1"/>
  <c r="D27" i="1"/>
  <c r="E27" i="1"/>
  <c r="J27" i="1" s="1"/>
  <c r="D26" i="1"/>
  <c r="E26" i="1"/>
  <c r="J26" i="1" s="1"/>
  <c r="D25" i="1"/>
  <c r="E25" i="1"/>
  <c r="J25" i="1" s="1"/>
  <c r="D24" i="1"/>
  <c r="E24" i="1"/>
  <c r="J24" i="1" s="1"/>
  <c r="D23" i="1"/>
  <c r="E23" i="1"/>
  <c r="J23" i="1" s="1"/>
  <c r="D22" i="1"/>
  <c r="C30" i="1"/>
  <c r="C29" i="1"/>
  <c r="C28" i="1"/>
  <c r="C27" i="1"/>
  <c r="C26" i="1"/>
  <c r="C25" i="1"/>
  <c r="C24" i="1"/>
  <c r="C23" i="1"/>
  <c r="C22" i="1"/>
  <c r="H29" i="1" l="1"/>
  <c r="I29" i="1"/>
  <c r="I23" i="1"/>
  <c r="I31" i="1"/>
  <c r="H31" i="1"/>
  <c r="H30" i="1"/>
  <c r="I30" i="1"/>
  <c r="I28" i="1"/>
  <c r="H28" i="1"/>
  <c r="H27" i="1"/>
  <c r="I27" i="1"/>
  <c r="H26" i="1"/>
  <c r="I26" i="1"/>
  <c r="I25" i="1"/>
  <c r="H25" i="1"/>
  <c r="H24" i="1"/>
  <c r="I24" i="1"/>
  <c r="H23" i="1"/>
  <c r="I22" i="1"/>
  <c r="J30" i="1"/>
  <c r="J22" i="1"/>
  <c r="H22" i="1"/>
</calcChain>
</file>

<file path=xl/sharedStrings.xml><?xml version="1.0" encoding="utf-8"?>
<sst xmlns="http://schemas.openxmlformats.org/spreadsheetml/2006/main" count="44" uniqueCount="11">
  <si>
    <t>№ результату</t>
  </si>
  <si>
    <t>Розмір сортованого списку, к-ть елементів</t>
  </si>
  <si>
    <t>Виміряний час для методу вставки, мс</t>
  </si>
  <si>
    <t>Виміряний час для методу злиттям, мс</t>
  </si>
  <si>
    <t>Виміряний час для вбудованого методу, мс</t>
  </si>
  <si>
    <t>Вставка</t>
  </si>
  <si>
    <t>Злиття</t>
  </si>
  <si>
    <t>Дефолт</t>
  </si>
  <si>
    <t>Розмір списку, к-ть елементів</t>
  </si>
  <si>
    <t>Середні значення часу сортування, мс</t>
  </si>
  <si>
    <t>В скільки разів швидше в середньому працює дефолтний алгорим відносно 2х інших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</si>
</sst>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0.0"/>
    <numFmt numFmtId="166" formatCode="0.00000"/>
    <numFmt numFmtId="167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textRotation="90" wrapText="1"/>
    </xf>
    <xf numFmtId="0" fontId="0" fillId="0" borderId="0" xfId="0" applyNumberFormat="1" applyBorder="1" applyAlignment="1">
      <alignment horizontal="center" vertical="center" wrapText="1"/>
    </xf>
    <xf numFmtId="0" fontId="0" fillId="0" borderId="0" xfId="0" applyNumberFormat="1" applyBorder="1" applyAlignment="1">
      <alignment vertical="center" wrapText="1"/>
    </xf>
    <xf numFmtId="0" fontId="0" fillId="0" borderId="0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 textRotation="90" wrapText="1"/>
    </xf>
    <xf numFmtId="165" fontId="0" fillId="0" borderId="0" xfId="0" applyNumberForma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textRotation="90" wrapText="1"/>
    </xf>
    <xf numFmtId="167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600"/>
              <a:t>Залежність середнього значення часу сортування (мс) від розміру списку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Timesort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Лист1!$B$22:$B$27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</c:numCache>
            </c:numRef>
          </c:cat>
          <c:val>
            <c:numRef>
              <c:f>Лист1!$E$22:$E$27</c:f>
              <c:numCache>
                <c:formatCode>0.00000</c:formatCode>
                <c:ptCount val="6"/>
                <c:pt idx="0">
                  <c:v>0.14596000000000001</c:v>
                </c:pt>
                <c:pt idx="1">
                  <c:v>0.36254000000000003</c:v>
                </c:pt>
                <c:pt idx="2">
                  <c:v>0.95569999999999999</c:v>
                </c:pt>
                <c:pt idx="3">
                  <c:v>0.82241999999999993</c:v>
                </c:pt>
                <c:pt idx="4">
                  <c:v>0.83057999999999998</c:v>
                </c:pt>
                <c:pt idx="5">
                  <c:v>1.0284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6E-422D-852D-84278E8ED4DF}"/>
            </c:ext>
          </c:extLst>
        </c:ser>
        <c:ser>
          <c:idx val="1"/>
          <c:order val="1"/>
          <c:tx>
            <c:v>Merge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Лист1!$B$22:$B$27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</c:numCache>
            </c:numRef>
          </c:cat>
          <c:val>
            <c:numRef>
              <c:f>Лист1!$D$22:$D$27</c:f>
              <c:numCache>
                <c:formatCode>0.00</c:formatCode>
                <c:ptCount val="6"/>
                <c:pt idx="0">
                  <c:v>5.0903000000000009</c:v>
                </c:pt>
                <c:pt idx="1">
                  <c:v>19.058260000000001</c:v>
                </c:pt>
                <c:pt idx="2">
                  <c:v>18.654680000000003</c:v>
                </c:pt>
                <c:pt idx="3">
                  <c:v>27.711720000000003</c:v>
                </c:pt>
                <c:pt idx="4">
                  <c:v>36.777600000000007</c:v>
                </c:pt>
                <c:pt idx="5">
                  <c:v>36.120199999999997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6E-422D-852D-84278E8ED4DF}"/>
            </c:ext>
          </c:extLst>
        </c:ser>
        <c:ser>
          <c:idx val="2"/>
          <c:order val="2"/>
          <c:tx>
            <c:v>Insertion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Лист1!$B$22:$B$27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</c:numCache>
            </c:numRef>
          </c:cat>
          <c:val>
            <c:numRef>
              <c:f>Лист1!$C$22:$C$27</c:f>
              <c:numCache>
                <c:formatCode>0.00</c:formatCode>
                <c:ptCount val="6"/>
                <c:pt idx="0">
                  <c:v>59.707220000000007</c:v>
                </c:pt>
                <c:pt idx="1">
                  <c:v>227.71602000000001</c:v>
                </c:pt>
                <c:pt idx="2">
                  <c:v>458.56344000000001</c:v>
                </c:pt>
                <c:pt idx="3">
                  <c:v>863.45889999999997</c:v>
                </c:pt>
                <c:pt idx="4">
                  <c:v>1357.2055599999999</c:v>
                </c:pt>
                <c:pt idx="5">
                  <c:v>1895.5628199999999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6E-422D-852D-84278E8ED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946776"/>
        <c:axId val="450947432"/>
      </c:lineChart>
      <c:catAx>
        <c:axId val="450946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50947432"/>
        <c:crosses val="autoZero"/>
        <c:auto val="1"/>
        <c:lblAlgn val="ctr"/>
        <c:lblOffset val="100"/>
        <c:noMultiLvlLbl val="0"/>
      </c:catAx>
      <c:valAx>
        <c:axId val="45094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5094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42262</xdr:colOff>
      <xdr:row>33</xdr:row>
      <xdr:rowOff>34578</xdr:rowOff>
    </xdr:from>
    <xdr:to>
      <xdr:col>16</xdr:col>
      <xdr:colOff>214513</xdr:colOff>
      <xdr:row>65</xdr:row>
      <xdr:rowOff>170970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zoomScaleNormal="100" workbookViewId="0">
      <selection activeCell="K21" sqref="K21"/>
    </sheetView>
  </sheetViews>
  <sheetFormatPr defaultColWidth="16.5546875" defaultRowHeight="14.4" x14ac:dyDescent="0.3"/>
  <cols>
    <col min="1" max="1" width="8.21875" style="1" customWidth="1"/>
    <col min="2" max="2" width="10.77734375" style="1" customWidth="1"/>
    <col min="3" max="3" width="9.21875" style="1" customWidth="1"/>
    <col min="4" max="4" width="10.77734375" style="1" customWidth="1"/>
    <col min="5" max="5" width="11" style="1" customWidth="1"/>
    <col min="6" max="6" width="9.109375" style="1" customWidth="1"/>
    <col min="7" max="7" width="9.33203125" style="1" customWidth="1"/>
    <col min="8" max="8" width="11.21875" style="1" customWidth="1"/>
    <col min="9" max="9" width="9.33203125" style="1" customWidth="1"/>
    <col min="10" max="10" width="8.6640625" style="1" customWidth="1"/>
    <col min="11" max="11" width="10.5546875" style="1" customWidth="1"/>
    <col min="12" max="12" width="10.44140625" style="1" customWidth="1"/>
    <col min="13" max="13" width="9.21875" style="1" customWidth="1"/>
    <col min="14" max="14" width="10.21875" style="1" customWidth="1"/>
    <col min="15" max="16" width="9.21875" style="1" customWidth="1"/>
    <col min="17" max="17" width="9.88671875" style="1" customWidth="1"/>
    <col min="18" max="19" width="10" style="1" customWidth="1"/>
    <col min="20" max="20" width="10.88671875" style="1" customWidth="1"/>
    <col min="21" max="21" width="9.5546875" style="1" customWidth="1"/>
    <col min="22" max="16384" width="16.5546875" style="1"/>
  </cols>
  <sheetData>
    <row r="1" spans="1:17" ht="17.399999999999999" customHeight="1" x14ac:dyDescent="0.3">
      <c r="A1" s="14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6"/>
    </row>
    <row r="2" spans="1:17" x14ac:dyDescent="0.3">
      <c r="A2" s="14"/>
      <c r="B2" s="2">
        <v>1000</v>
      </c>
      <c r="C2" s="2"/>
      <c r="D2" s="2"/>
      <c r="E2" s="2">
        <v>2000</v>
      </c>
      <c r="F2" s="2"/>
      <c r="G2" s="2"/>
      <c r="H2" s="2">
        <v>3000</v>
      </c>
      <c r="I2" s="2"/>
      <c r="J2" s="2"/>
      <c r="K2" s="2">
        <v>4000</v>
      </c>
      <c r="L2" s="2"/>
      <c r="M2" s="2"/>
      <c r="N2" s="2">
        <v>5000</v>
      </c>
      <c r="O2" s="2"/>
      <c r="P2" s="2"/>
    </row>
    <row r="3" spans="1:17" ht="102.6" customHeight="1" x14ac:dyDescent="0.3">
      <c r="A3" s="14"/>
      <c r="B3" s="4" t="s">
        <v>2</v>
      </c>
      <c r="C3" s="4" t="s">
        <v>3</v>
      </c>
      <c r="D3" s="4" t="s">
        <v>4</v>
      </c>
      <c r="E3" s="4" t="s">
        <v>2</v>
      </c>
      <c r="F3" s="4" t="s">
        <v>3</v>
      </c>
      <c r="G3" s="4" t="s">
        <v>4</v>
      </c>
      <c r="H3" s="4" t="s">
        <v>2</v>
      </c>
      <c r="I3" s="4" t="s">
        <v>3</v>
      </c>
      <c r="J3" s="4" t="s">
        <v>4</v>
      </c>
      <c r="K3" s="4" t="s">
        <v>2</v>
      </c>
      <c r="L3" s="4" t="s">
        <v>3</v>
      </c>
      <c r="M3" s="4" t="s">
        <v>4</v>
      </c>
      <c r="N3" s="4" t="s">
        <v>2</v>
      </c>
      <c r="O3" s="4" t="s">
        <v>3</v>
      </c>
      <c r="P3" s="4" t="s">
        <v>4</v>
      </c>
    </row>
    <row r="4" spans="1:17" x14ac:dyDescent="0.3">
      <c r="A4" s="3">
        <v>1</v>
      </c>
      <c r="B4" s="16">
        <v>50.233800000000002</v>
      </c>
      <c r="C4" s="15">
        <v>4.6681999999999997</v>
      </c>
      <c r="D4" s="15">
        <v>0.22420000000000001</v>
      </c>
      <c r="E4" s="16">
        <v>236.6138</v>
      </c>
      <c r="F4" s="15">
        <v>51.808599999999998</v>
      </c>
      <c r="G4" s="15">
        <v>0.57820000000000005</v>
      </c>
      <c r="H4" s="16">
        <v>507.1558</v>
      </c>
      <c r="I4" s="15">
        <v>16.684999999999999</v>
      </c>
      <c r="J4" s="15">
        <v>0.59509999999999996</v>
      </c>
      <c r="K4" s="16">
        <v>961.85299999999995</v>
      </c>
      <c r="L4" s="15">
        <v>44.845799999999997</v>
      </c>
      <c r="M4" s="15">
        <v>1.7495000000000001</v>
      </c>
      <c r="N4" s="16">
        <v>1337.2936999999999</v>
      </c>
      <c r="O4" s="15">
        <v>28.305</v>
      </c>
      <c r="P4" s="15">
        <v>0.67669999999999997</v>
      </c>
    </row>
    <row r="5" spans="1:17" x14ac:dyDescent="0.3">
      <c r="A5" s="3">
        <v>2</v>
      </c>
      <c r="B5" s="16">
        <v>84.434799999999996</v>
      </c>
      <c r="C5" s="15">
        <v>3.8752</v>
      </c>
      <c r="D5" s="15">
        <v>0.12970000000000001</v>
      </c>
      <c r="E5" s="16">
        <v>183.56100000000001</v>
      </c>
      <c r="F5" s="15">
        <v>11.5533</v>
      </c>
      <c r="G5" s="15">
        <v>0.27760000000000001</v>
      </c>
      <c r="H5" s="16">
        <v>486.63560000000001</v>
      </c>
      <c r="I5" s="15">
        <v>8.4306000000000001</v>
      </c>
      <c r="J5" s="15">
        <v>0.52839999999999998</v>
      </c>
      <c r="K5" s="16">
        <v>814.38009999999997</v>
      </c>
      <c r="L5" s="15">
        <v>19.865300000000001</v>
      </c>
      <c r="M5" s="15">
        <v>0.52059999999999995</v>
      </c>
      <c r="N5" s="16">
        <v>1386.82</v>
      </c>
      <c r="O5" s="15">
        <v>30.911300000000001</v>
      </c>
      <c r="P5" s="15">
        <v>0.64900000000000002</v>
      </c>
    </row>
    <row r="6" spans="1:17" x14ac:dyDescent="0.3">
      <c r="A6" s="3">
        <v>3</v>
      </c>
      <c r="B6" s="16">
        <v>57.7776</v>
      </c>
      <c r="C6" s="15">
        <v>3.75</v>
      </c>
      <c r="D6" s="15">
        <v>0.12379999999999999</v>
      </c>
      <c r="E6" s="16">
        <v>305.51420000000002</v>
      </c>
      <c r="F6" s="15">
        <v>6.3525999999999998</v>
      </c>
      <c r="G6" s="15">
        <v>0.31380000000000002</v>
      </c>
      <c r="H6" s="16">
        <v>407.05790000000002</v>
      </c>
      <c r="I6" s="15">
        <v>33.166499999999999</v>
      </c>
      <c r="J6" s="15">
        <v>2.7545999999999999</v>
      </c>
      <c r="K6" s="16">
        <v>874.62720000000002</v>
      </c>
      <c r="L6" s="15">
        <v>20.7986</v>
      </c>
      <c r="M6" s="15">
        <v>0.53510000000000002</v>
      </c>
      <c r="N6" s="16">
        <v>1344.7677000000001</v>
      </c>
      <c r="O6" s="15">
        <v>45.105800000000002</v>
      </c>
      <c r="P6" s="15">
        <v>0.65329999999999999</v>
      </c>
    </row>
    <row r="7" spans="1:17" x14ac:dyDescent="0.3">
      <c r="A7" s="3">
        <v>4</v>
      </c>
      <c r="B7" s="16">
        <v>55.680900000000001</v>
      </c>
      <c r="C7" s="15">
        <v>4.8296000000000001</v>
      </c>
      <c r="D7" s="15">
        <v>0.1118</v>
      </c>
      <c r="E7" s="16">
        <v>181.3946</v>
      </c>
      <c r="F7" s="15">
        <v>12.986800000000001</v>
      </c>
      <c r="G7" s="15">
        <v>0.38350000000000001</v>
      </c>
      <c r="H7" s="16">
        <v>390.64789999999999</v>
      </c>
      <c r="I7" s="15">
        <v>17.713699999999999</v>
      </c>
      <c r="J7" s="15">
        <v>0.37909999999999999</v>
      </c>
      <c r="K7" s="16">
        <v>808.93349999999998</v>
      </c>
      <c r="L7" s="15">
        <v>24.1798</v>
      </c>
      <c r="M7" s="15">
        <v>0.76559999999999995</v>
      </c>
      <c r="N7" s="16">
        <v>1452.0727999999999</v>
      </c>
      <c r="O7" s="15">
        <v>31.492599999999999</v>
      </c>
      <c r="P7" s="15">
        <v>1.4073</v>
      </c>
    </row>
    <row r="8" spans="1:17" x14ac:dyDescent="0.3">
      <c r="A8" s="3">
        <v>5</v>
      </c>
      <c r="B8" s="16">
        <v>50.408999999999999</v>
      </c>
      <c r="C8" s="15">
        <v>8.3285</v>
      </c>
      <c r="D8" s="15">
        <v>0.14030000000000001</v>
      </c>
      <c r="E8" s="16">
        <v>231.4965</v>
      </c>
      <c r="F8" s="15">
        <v>12.59</v>
      </c>
      <c r="G8" s="15">
        <v>0.2596</v>
      </c>
      <c r="H8" s="16">
        <v>501.32</v>
      </c>
      <c r="I8" s="15">
        <v>17.2776</v>
      </c>
      <c r="J8" s="15">
        <v>0.52129999999999999</v>
      </c>
      <c r="K8" s="16">
        <v>857.50070000000005</v>
      </c>
      <c r="L8" s="15">
        <v>28.8691</v>
      </c>
      <c r="M8" s="15">
        <v>0.5413</v>
      </c>
      <c r="N8" s="16">
        <v>1265.0735999999999</v>
      </c>
      <c r="O8" s="15">
        <v>48.073300000000003</v>
      </c>
      <c r="P8" s="15">
        <v>0.76659999999999995</v>
      </c>
    </row>
    <row r="10" spans="1:17" ht="14.4" customHeight="1" x14ac:dyDescent="0.3">
      <c r="A10" s="14" t="s">
        <v>0</v>
      </c>
      <c r="B10" s="2" t="s">
        <v>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 x14ac:dyDescent="0.3">
      <c r="A11" s="14"/>
      <c r="B11" s="2">
        <v>6000</v>
      </c>
      <c r="C11" s="2"/>
      <c r="D11" s="2"/>
      <c r="E11" s="2">
        <v>7000</v>
      </c>
      <c r="F11" s="2"/>
      <c r="G11" s="2"/>
      <c r="H11" s="2">
        <v>8000</v>
      </c>
      <c r="I11" s="2"/>
      <c r="J11" s="2"/>
      <c r="K11" s="2">
        <v>9000</v>
      </c>
      <c r="L11" s="2"/>
      <c r="M11" s="2"/>
      <c r="N11" s="2">
        <v>10000</v>
      </c>
      <c r="O11" s="2"/>
      <c r="P11" s="2"/>
    </row>
    <row r="12" spans="1:17" ht="97.8" customHeight="1" x14ac:dyDescent="0.3">
      <c r="A12" s="14"/>
      <c r="B12" s="4" t="s">
        <v>2</v>
      </c>
      <c r="C12" s="4" t="s">
        <v>3</v>
      </c>
      <c r="D12" s="4" t="s">
        <v>4</v>
      </c>
      <c r="E12" s="4" t="s">
        <v>2</v>
      </c>
      <c r="F12" s="4" t="s">
        <v>3</v>
      </c>
      <c r="G12" s="4" t="s">
        <v>4</v>
      </c>
      <c r="H12" s="4" t="s">
        <v>2</v>
      </c>
      <c r="I12" s="4" t="s">
        <v>3</v>
      </c>
      <c r="J12" s="4" t="s">
        <v>4</v>
      </c>
      <c r="K12" s="4" t="s">
        <v>2</v>
      </c>
      <c r="L12" s="4" t="s">
        <v>3</v>
      </c>
      <c r="M12" s="4" t="s">
        <v>4</v>
      </c>
      <c r="N12" s="4" t="s">
        <v>2</v>
      </c>
      <c r="O12" s="4" t="s">
        <v>3</v>
      </c>
      <c r="P12" s="4" t="s">
        <v>4</v>
      </c>
    </row>
    <row r="13" spans="1:17" x14ac:dyDescent="0.3">
      <c r="A13" s="3">
        <v>1</v>
      </c>
      <c r="B13" s="16">
        <v>2097.3292000000001</v>
      </c>
      <c r="C13" s="15">
        <v>57.506799999999998</v>
      </c>
      <c r="D13" s="15">
        <v>1.2687999999999999</v>
      </c>
      <c r="E13" s="16">
        <v>2644.2709</v>
      </c>
      <c r="F13" s="15">
        <v>37.3125</v>
      </c>
      <c r="G13" s="15">
        <v>1.1794</v>
      </c>
      <c r="H13" s="16">
        <v>4345.1541999999999</v>
      </c>
      <c r="I13" s="15">
        <v>42.5473</v>
      </c>
      <c r="J13" s="15">
        <v>1.3554999999999999</v>
      </c>
      <c r="K13" s="16">
        <v>3966.3177999999998</v>
      </c>
      <c r="L13" s="15">
        <v>50.071800000000003</v>
      </c>
      <c r="M13" s="15">
        <v>1.3103</v>
      </c>
      <c r="N13" s="16">
        <v>4884.0091000000002</v>
      </c>
      <c r="O13" s="15">
        <v>48.971699999999998</v>
      </c>
      <c r="P13" s="15">
        <v>1.4672000000000001</v>
      </c>
    </row>
    <row r="14" spans="1:17" x14ac:dyDescent="0.3">
      <c r="A14" s="3">
        <v>2</v>
      </c>
      <c r="B14" s="16">
        <v>1764.4204999999999</v>
      </c>
      <c r="C14" s="15">
        <v>41.334099999999999</v>
      </c>
      <c r="D14" s="15">
        <v>0.94610000000000005</v>
      </c>
      <c r="E14" s="16">
        <v>2493.3029000000001</v>
      </c>
      <c r="F14" s="15">
        <v>37.554099999999998</v>
      </c>
      <c r="G14" s="15">
        <v>1.1165</v>
      </c>
      <c r="H14" s="16">
        <v>3383.0843</v>
      </c>
      <c r="I14" s="15">
        <v>34.973100000000002</v>
      </c>
      <c r="J14" s="15">
        <v>1.1054999999999999</v>
      </c>
      <c r="K14" s="16">
        <v>4773.8410999999996</v>
      </c>
      <c r="L14" s="15">
        <v>50.737200000000001</v>
      </c>
      <c r="M14" s="15">
        <v>2.4441000000000002</v>
      </c>
      <c r="N14" s="16">
        <v>6189.7822999999999</v>
      </c>
      <c r="O14" s="15">
        <v>54.497999999999998</v>
      </c>
      <c r="P14" s="15">
        <v>2.1223999999999998</v>
      </c>
    </row>
    <row r="15" spans="1:17" x14ac:dyDescent="0.3">
      <c r="A15" s="3">
        <v>3</v>
      </c>
      <c r="B15" s="16">
        <v>1872.4914000000001</v>
      </c>
      <c r="C15" s="15">
        <v>25.782299999999999</v>
      </c>
      <c r="D15" s="15">
        <v>0.8014</v>
      </c>
      <c r="E15" s="16">
        <v>2557.4594000000002</v>
      </c>
      <c r="F15" s="15">
        <v>31.654599999999999</v>
      </c>
      <c r="G15" s="15">
        <v>0.95489999999999997</v>
      </c>
      <c r="H15" s="16">
        <v>3248.7449999999999</v>
      </c>
      <c r="I15" s="15">
        <v>37.3384</v>
      </c>
      <c r="J15" s="15">
        <v>1.2470000000000001</v>
      </c>
      <c r="K15" s="16">
        <v>4533.6067999999996</v>
      </c>
      <c r="L15" s="15">
        <v>47.289900000000003</v>
      </c>
      <c r="M15" s="15">
        <v>1.44</v>
      </c>
      <c r="N15" s="16">
        <v>6089.0616</v>
      </c>
      <c r="O15" s="15">
        <v>58.7744</v>
      </c>
      <c r="P15" s="15">
        <v>1.8946000000000001</v>
      </c>
    </row>
    <row r="16" spans="1:17" x14ac:dyDescent="0.3">
      <c r="A16" s="3">
        <v>4</v>
      </c>
      <c r="B16" s="16">
        <v>1928.2295999999999</v>
      </c>
      <c r="C16" s="15">
        <v>31.018599999999999</v>
      </c>
      <c r="D16" s="15">
        <v>0.79669999999999996</v>
      </c>
      <c r="E16" s="16">
        <v>2900.7194</v>
      </c>
      <c r="F16" s="15">
        <v>63.749499999999998</v>
      </c>
      <c r="G16" s="15">
        <v>1.0099</v>
      </c>
      <c r="H16" s="16">
        <v>3903.1887000000002</v>
      </c>
      <c r="I16" s="15">
        <v>49.067999999999998</v>
      </c>
      <c r="J16" s="15">
        <v>1.1083000000000001</v>
      </c>
      <c r="K16" s="16">
        <v>3884.4602</v>
      </c>
      <c r="L16" s="15">
        <v>55.113300000000002</v>
      </c>
      <c r="M16" s="15">
        <v>1.6644000000000001</v>
      </c>
      <c r="N16" s="16">
        <v>6112.9159</v>
      </c>
      <c r="O16" s="15">
        <v>51.181600000000003</v>
      </c>
      <c r="P16" s="15">
        <v>2.4581</v>
      </c>
    </row>
    <row r="17" spans="1:21" x14ac:dyDescent="0.3">
      <c r="A17" s="3">
        <v>5</v>
      </c>
      <c r="B17" s="16">
        <v>1815.3434</v>
      </c>
      <c r="C17" s="15">
        <v>24.959199999999999</v>
      </c>
      <c r="D17" s="15">
        <v>1.329</v>
      </c>
      <c r="E17" s="16">
        <v>2653.2909</v>
      </c>
      <c r="F17" s="15">
        <v>34.118499999999997</v>
      </c>
      <c r="G17" s="15">
        <v>0.95709999999999995</v>
      </c>
      <c r="H17" s="16">
        <v>3163.8287999999998</v>
      </c>
      <c r="I17" s="15">
        <v>44.3187</v>
      </c>
      <c r="J17" s="15">
        <v>1.2237</v>
      </c>
      <c r="K17" s="16">
        <v>4016.3523</v>
      </c>
      <c r="L17" s="15">
        <v>52.140999999999998</v>
      </c>
      <c r="M17" s="15">
        <v>1.7522</v>
      </c>
      <c r="N17" s="16">
        <v>5234.9587000000001</v>
      </c>
      <c r="O17" s="15">
        <v>63.1494</v>
      </c>
      <c r="P17" s="15">
        <v>2.6242999999999999</v>
      </c>
    </row>
    <row r="20" spans="1:21" ht="42.6" customHeight="1" x14ac:dyDescent="0.3">
      <c r="A20" s="6"/>
      <c r="B20" s="5" t="s">
        <v>9</v>
      </c>
      <c r="C20" s="5"/>
      <c r="D20" s="5"/>
      <c r="E20" s="5"/>
      <c r="G20" s="8" t="s">
        <v>10</v>
      </c>
      <c r="H20" s="8"/>
      <c r="I20" s="8"/>
      <c r="J20" s="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76.8" customHeight="1" x14ac:dyDescent="0.3">
      <c r="A21" s="6"/>
      <c r="B21" s="4" t="s">
        <v>8</v>
      </c>
      <c r="C21" s="3" t="s">
        <v>5</v>
      </c>
      <c r="D21" s="3" t="s">
        <v>6</v>
      </c>
      <c r="E21" s="3" t="s">
        <v>7</v>
      </c>
      <c r="G21" s="4" t="s">
        <v>8</v>
      </c>
      <c r="H21" s="3" t="s">
        <v>5</v>
      </c>
      <c r="I21" s="3" t="s">
        <v>6</v>
      </c>
      <c r="J21" s="3" t="s">
        <v>7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15.6" customHeight="1" x14ac:dyDescent="0.3">
      <c r="A22" s="6"/>
      <c r="B22" s="3">
        <v>1000</v>
      </c>
      <c r="C22" s="16">
        <f>SUM(B4:B8)/5</f>
        <v>59.707220000000007</v>
      </c>
      <c r="D22" s="16">
        <f>SUM(C4:C8)/5</f>
        <v>5.0903000000000009</v>
      </c>
      <c r="E22" s="10">
        <f>SUM(D4:D8)/5</f>
        <v>0.14596000000000001</v>
      </c>
      <c r="G22" s="3">
        <v>100</v>
      </c>
      <c r="H22" s="9">
        <f>C22/E22</f>
        <v>409.06563442038919</v>
      </c>
      <c r="I22" s="9">
        <f>D22/E22</f>
        <v>34.8746231844341</v>
      </c>
      <c r="J22" s="9">
        <f>E22/E22</f>
        <v>1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x14ac:dyDescent="0.3">
      <c r="A23" s="7"/>
      <c r="B23" s="3">
        <v>2000</v>
      </c>
      <c r="C23" s="16">
        <f>SUM(E4:E8)/5</f>
        <v>227.71602000000001</v>
      </c>
      <c r="D23" s="16">
        <f>SUM(F4:F8)/5</f>
        <v>19.058260000000001</v>
      </c>
      <c r="E23" s="10">
        <f>SUM(G4:G8)/5</f>
        <v>0.36254000000000003</v>
      </c>
      <c r="G23" s="3">
        <v>1000</v>
      </c>
      <c r="H23" s="9">
        <f t="shared" ref="H23:H31" si="0">C23/E23</f>
        <v>628.11281513763993</v>
      </c>
      <c r="I23" s="9">
        <f t="shared" ref="I23:I31" si="1">D23/E23</f>
        <v>52.568709659623764</v>
      </c>
      <c r="J23" s="9">
        <f t="shared" ref="J23:J31" si="2">E23/E23</f>
        <v>1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3">
      <c r="A24" s="7"/>
      <c r="B24" s="3">
        <v>3000</v>
      </c>
      <c r="C24" s="16">
        <f>SUM(H4:H8)/5</f>
        <v>458.56344000000001</v>
      </c>
      <c r="D24" s="16">
        <f>SUM(I4:I8)/5</f>
        <v>18.654680000000003</v>
      </c>
      <c r="E24" s="10">
        <f>SUM(J4:J8)/5</f>
        <v>0.95569999999999999</v>
      </c>
      <c r="G24" s="3">
        <v>2000</v>
      </c>
      <c r="H24" s="9">
        <f t="shared" si="0"/>
        <v>479.81944124725334</v>
      </c>
      <c r="I24" s="9">
        <f t="shared" si="1"/>
        <v>19.519388929580415</v>
      </c>
      <c r="J24" s="9">
        <f t="shared" si="2"/>
        <v>1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3">
      <c r="A25" s="7"/>
      <c r="B25" s="3">
        <v>4000</v>
      </c>
      <c r="C25" s="16">
        <f>SUM(K4:K8)/5</f>
        <v>863.45889999999997</v>
      </c>
      <c r="D25" s="16">
        <f>SUM(L4:L8)/5</f>
        <v>27.711720000000003</v>
      </c>
      <c r="E25" s="10">
        <f>SUM(M4:M8)/5</f>
        <v>0.82241999999999993</v>
      </c>
      <c r="G25" s="3">
        <v>5000</v>
      </c>
      <c r="H25" s="9">
        <f t="shared" si="0"/>
        <v>1049.9001726611707</v>
      </c>
      <c r="I25" s="9">
        <f t="shared" si="1"/>
        <v>33.695338148391343</v>
      </c>
      <c r="J25" s="9">
        <f t="shared" si="2"/>
        <v>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3">
      <c r="A26" s="7"/>
      <c r="B26" s="3">
        <v>5000</v>
      </c>
      <c r="C26" s="16">
        <f>SUM(N4:N8)/5</f>
        <v>1357.2055599999999</v>
      </c>
      <c r="D26" s="16">
        <f>SUM(O4:O8)/5</f>
        <v>36.777600000000007</v>
      </c>
      <c r="E26" s="10">
        <f>SUM(P4:P8)/5</f>
        <v>0.83057999999999998</v>
      </c>
      <c r="G26" s="3">
        <v>10000</v>
      </c>
      <c r="H26" s="9">
        <f t="shared" si="0"/>
        <v>1634.0455585253676</v>
      </c>
      <c r="I26" s="9">
        <f t="shared" si="1"/>
        <v>44.279419201040248</v>
      </c>
      <c r="J26" s="9">
        <f t="shared" si="2"/>
        <v>1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3">
      <c r="A27" s="7"/>
      <c r="B27" s="3">
        <v>6000</v>
      </c>
      <c r="C27" s="16">
        <f>SUM(B13:B17)/5</f>
        <v>1895.5628199999999</v>
      </c>
      <c r="D27" s="16">
        <f>SUM(C13:C17)/5</f>
        <v>36.120199999999997</v>
      </c>
      <c r="E27" s="10">
        <f>SUM(D13:D17)/5</f>
        <v>1.0284</v>
      </c>
      <c r="G27" s="3">
        <v>20000</v>
      </c>
      <c r="H27" s="9">
        <f t="shared" si="0"/>
        <v>1843.215499805523</v>
      </c>
      <c r="I27" s="9">
        <f t="shared" si="1"/>
        <v>35.122714896927263</v>
      </c>
      <c r="J27" s="9">
        <f t="shared" si="2"/>
        <v>1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3">
      <c r="A28" s="7"/>
      <c r="B28" s="3">
        <v>7000</v>
      </c>
      <c r="C28" s="16">
        <f>SUM(E13:E17)/5</f>
        <v>2649.8087</v>
      </c>
      <c r="D28" s="16">
        <f>SUM(F13:F17)/5</f>
        <v>40.877840000000006</v>
      </c>
      <c r="E28" s="10">
        <f>SUM(G13:G17)/5</f>
        <v>1.0435599999999998</v>
      </c>
      <c r="G28" s="3">
        <v>50000</v>
      </c>
      <c r="H28" s="9">
        <f t="shared" si="0"/>
        <v>2539.2011000804941</v>
      </c>
      <c r="I28" s="9">
        <f t="shared" si="1"/>
        <v>39.171528230288637</v>
      </c>
      <c r="J28" s="9">
        <f t="shared" si="2"/>
        <v>1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spans="1:21" ht="17.399999999999999" customHeight="1" x14ac:dyDescent="0.3">
      <c r="B29" s="3">
        <v>8000</v>
      </c>
      <c r="C29" s="16">
        <f>SUM(H13:H17)/5</f>
        <v>3608.8002000000001</v>
      </c>
      <c r="D29" s="16">
        <f>SUM(I13:I17)/5</f>
        <v>41.649100000000004</v>
      </c>
      <c r="E29" s="10">
        <f>SUM(J13:J17)/5</f>
        <v>1.208</v>
      </c>
      <c r="G29" s="3">
        <v>100000</v>
      </c>
      <c r="H29" s="9">
        <f t="shared" si="0"/>
        <v>2987.4173841059605</v>
      </c>
      <c r="I29" s="9">
        <f t="shared" si="1"/>
        <v>34.477731788079474</v>
      </c>
      <c r="J29" s="9">
        <f t="shared" si="2"/>
        <v>1</v>
      </c>
    </row>
    <row r="30" spans="1:21" ht="16.8" customHeight="1" x14ac:dyDescent="0.3">
      <c r="B30" s="3">
        <v>9000</v>
      </c>
      <c r="C30" s="16">
        <f>SUM(K13:K17)/5</f>
        <v>4234.9156399999993</v>
      </c>
      <c r="D30" s="16">
        <f>SUM(L13:L17)/5</f>
        <v>51.070640000000004</v>
      </c>
      <c r="E30" s="10">
        <f>SUM(M13:M17)/5</f>
        <v>1.7222000000000002</v>
      </c>
      <c r="G30" s="3">
        <v>200000</v>
      </c>
      <c r="H30" s="9">
        <f t="shared" si="0"/>
        <v>2459.0150040645681</v>
      </c>
      <c r="I30" s="9">
        <f t="shared" si="1"/>
        <v>29.654302636163045</v>
      </c>
      <c r="J30" s="9">
        <f t="shared" si="2"/>
        <v>1</v>
      </c>
      <c r="K30" s="6"/>
      <c r="L30" s="6"/>
    </row>
    <row r="31" spans="1:21" x14ac:dyDescent="0.3">
      <c r="B31" s="3">
        <v>10000</v>
      </c>
      <c r="C31" s="16">
        <f>SUM(N13:N17)/5</f>
        <v>5702.14552</v>
      </c>
      <c r="D31" s="16">
        <f>SUM(O13:O17)/5</f>
        <v>55.315020000000004</v>
      </c>
      <c r="E31" s="10">
        <f>SUM(P13:P17)/5</f>
        <v>2.1133199999999999</v>
      </c>
      <c r="G31" s="3">
        <v>500000</v>
      </c>
      <c r="H31" s="9">
        <f>C31/E31</f>
        <v>2698.1931368652172</v>
      </c>
      <c r="I31" s="9">
        <f>D31/E31</f>
        <v>26.174464823121916</v>
      </c>
      <c r="J31" s="9">
        <f t="shared" si="2"/>
        <v>1</v>
      </c>
    </row>
  </sheetData>
  <mergeCells count="16">
    <mergeCell ref="G20:J20"/>
    <mergeCell ref="B20:E20"/>
    <mergeCell ref="B10:P10"/>
    <mergeCell ref="B11:D11"/>
    <mergeCell ref="E11:G11"/>
    <mergeCell ref="H11:J11"/>
    <mergeCell ref="K11:M11"/>
    <mergeCell ref="N11:P11"/>
    <mergeCell ref="A10:A12"/>
    <mergeCell ref="B2:D2"/>
    <mergeCell ref="E2:G2"/>
    <mergeCell ref="H2:J2"/>
    <mergeCell ref="K2:M2"/>
    <mergeCell ref="N2:P2"/>
    <mergeCell ref="B1:P1"/>
    <mergeCell ref="A1:A3"/>
  </mergeCells>
  <pageMargins left="0.7" right="0.7" top="0.75" bottom="0.75" header="0.3" footer="0.3"/>
  <pageSetup paperSize="9" orientation="portrait" horizontalDpi="300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Лист1!G22:G22</xm:f>
              <xm:sqref>H22</xm:sqref>
            </x14:sparkline>
            <x14:sparkline>
              <xm:f>Лист1!G23:G23</xm:f>
              <xm:sqref>H23</xm:sqref>
            </x14:sparkline>
            <x14:sparkline>
              <xm:f>Лист1!G24:G24</xm:f>
              <xm:sqref>H24</xm:sqref>
            </x14:sparkline>
            <x14:sparkline>
              <xm:f>Лист1!G25:G25</xm:f>
              <xm:sqref>H25</xm:sqref>
            </x14:sparkline>
            <x14:sparkline>
              <xm:f>Лист1!G26:G26</xm:f>
              <xm:sqref>H26</xm:sqref>
            </x14:sparkline>
            <x14:sparkline>
              <xm:f>Лист1!G27:G27</xm:f>
              <xm:sqref>H27</xm:sqref>
            </x14:sparkline>
            <x14:sparkline>
              <xm:f>Лист1!G28:G28</xm:f>
              <xm:sqref>H28</xm:sqref>
            </x14:sparkline>
            <x14:sparkline>
              <xm:f>Лист1!G29:G29</xm:f>
              <xm:sqref>H29</xm:sqref>
            </x14:sparkline>
            <x14:sparkline>
              <xm:f>Лист1!G30:G30</xm:f>
              <xm:sqref>H30</xm:sqref>
            </x14:sparkline>
            <x14:sparkline>
              <xm:f>Лист1!G31:G31</xm:f>
              <xm:sqref>H31</xm:sqref>
            </x14:sparkline>
            <x14:sparkline>
              <xm:f>Лист1!H22:H22</xm:f>
              <xm:sqref>I22</xm:sqref>
            </x14:sparkline>
            <x14:sparkline>
              <xm:f>Лист1!H23:H23</xm:f>
              <xm:sqref>I23</xm:sqref>
            </x14:sparkline>
            <x14:sparkline>
              <xm:f>Лист1!H24:H24</xm:f>
              <xm:sqref>I24</xm:sqref>
            </x14:sparkline>
            <x14:sparkline>
              <xm:f>Лист1!H25:H25</xm:f>
              <xm:sqref>I25</xm:sqref>
            </x14:sparkline>
            <x14:sparkline>
              <xm:f>Лист1!H26:H26</xm:f>
              <xm:sqref>I26</xm:sqref>
            </x14:sparkline>
            <x14:sparkline>
              <xm:f>Лист1!H27:H27</xm:f>
              <xm:sqref>I27</xm:sqref>
            </x14:sparkline>
            <x14:sparkline>
              <xm:f>Лист1!H28:H28</xm:f>
              <xm:sqref>I28</xm:sqref>
            </x14:sparkline>
            <x14:sparkline>
              <xm:f>Лист1!H29:H29</xm:f>
              <xm:sqref>I29</xm:sqref>
            </x14:sparkline>
            <x14:sparkline>
              <xm:f>Лист1!H30:H30</xm:f>
              <xm:sqref>I30</xm:sqref>
            </x14:sparkline>
            <x14:sparkline>
              <xm:f>Лист1!H31:H31</xm:f>
              <xm:sqref>I31</xm:sqref>
            </x14:sparkline>
            <x14:sparkline>
              <xm:f>Лист1!I22:I22</xm:f>
              <xm:sqref>J22</xm:sqref>
            </x14:sparkline>
            <x14:sparkline>
              <xm:f>Лист1!I23:I23</xm:f>
              <xm:sqref>J23</xm:sqref>
            </x14:sparkline>
            <x14:sparkline>
              <xm:f>Лист1!I24:I24</xm:f>
              <xm:sqref>J24</xm:sqref>
            </x14:sparkline>
            <x14:sparkline>
              <xm:f>Лист1!I25:I25</xm:f>
              <xm:sqref>J25</xm:sqref>
            </x14:sparkline>
            <x14:sparkline>
              <xm:f>Лист1!I26:I26</xm:f>
              <xm:sqref>J26</xm:sqref>
            </x14:sparkline>
            <x14:sparkline>
              <xm:f>Лист1!I27:I27</xm:f>
              <xm:sqref>J27</xm:sqref>
            </x14:sparkline>
            <x14:sparkline>
              <xm:f>Лист1!I28:I28</xm:f>
              <xm:sqref>J28</xm:sqref>
            </x14:sparkline>
            <x14:sparkline>
              <xm:f>Лист1!I29:I29</xm:f>
              <xm:sqref>J29</xm:sqref>
            </x14:sparkline>
            <x14:sparkline>
              <xm:f>Лист1!I30:I30</xm:f>
              <xm:sqref>J30</xm:sqref>
            </x14:sparkline>
            <x14:sparkline>
              <xm:f>Лист1!I31:I31</xm:f>
              <xm:sqref>J31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Лист1!B22:B22</xm:f>
              <xm:sqref>C22</xm:sqref>
            </x14:sparkline>
            <x14:sparkline>
              <xm:f>Лист1!B23:B23</xm:f>
              <xm:sqref>C23</xm:sqref>
            </x14:sparkline>
            <x14:sparkline>
              <xm:f>Лист1!B24:B24</xm:f>
              <xm:sqref>C24</xm:sqref>
            </x14:sparkline>
            <x14:sparkline>
              <xm:f>Лист1!B25:B25</xm:f>
              <xm:sqref>C25</xm:sqref>
            </x14:sparkline>
            <x14:sparkline>
              <xm:f>Лист1!B26:B26</xm:f>
              <xm:sqref>C26</xm:sqref>
            </x14:sparkline>
            <x14:sparkline>
              <xm:f>Лист1!B27:B27</xm:f>
              <xm:sqref>C27</xm:sqref>
            </x14:sparkline>
            <x14:sparkline>
              <xm:f>Лист1!B28:B28</xm:f>
              <xm:sqref>C28</xm:sqref>
            </x14:sparkline>
            <x14:sparkline>
              <xm:f>Лист1!B29:B29</xm:f>
              <xm:sqref>C29</xm:sqref>
            </x14:sparkline>
            <x14:sparkline>
              <xm:f>Лист1!B30:B30</xm:f>
              <xm:sqref>C30</xm:sqref>
            </x14:sparkline>
            <x14:sparkline>
              <xm:f>Лист1!B31:B31</xm:f>
              <xm:sqref>C31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2025-12-06T19:00:11Z</dcterms:created>
  <dcterms:modified xsi:type="dcterms:W3CDTF">2025-12-06T21:27:51Z</dcterms:modified>
</cp:coreProperties>
</file>